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l\Documents\ISEC\CE\Teorica\TPB\Projeto\"/>
    </mc:Choice>
  </mc:AlternateContent>
  <xr:revisionPtr revIDLastSave="0" documentId="13_ncr:1_{8213E6DC-39CB-473B-8692-36066BC08499}" xr6:coauthVersionLast="47" xr6:coauthVersionMax="47" xr10:uidLastSave="{00000000-0000-0000-0000-000000000000}"/>
  <bookViews>
    <workbookView xWindow="-120" yWindow="-120" windowWidth="20730" windowHeight="11280" xr2:uid="{45B7FEE6-EC3E-4FE3-97D3-64822A6D457F}"/>
  </bookViews>
  <sheets>
    <sheet name="Edifício 1" sheetId="1" r:id="rId1"/>
    <sheet name="Edifício 2" sheetId="2" r:id="rId2"/>
    <sheet name="Edifício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2" l="1"/>
  <c r="F18" i="3"/>
  <c r="F18" i="1"/>
</calcChain>
</file>

<file path=xl/sharedStrings.xml><?xml version="1.0" encoding="utf-8"?>
<sst xmlns="http://schemas.openxmlformats.org/spreadsheetml/2006/main" count="157" uniqueCount="51">
  <si>
    <t>EQUIPAMENTO</t>
  </si>
  <si>
    <t>MARCA</t>
  </si>
  <si>
    <t>MODELO</t>
  </si>
  <si>
    <t>QUANTIDADE</t>
  </si>
  <si>
    <t>PREÇO UNITÁRIO C/IVA</t>
  </si>
  <si>
    <t>Bastidor</t>
  </si>
  <si>
    <t>Switch</t>
  </si>
  <si>
    <t>Router</t>
  </si>
  <si>
    <t>Patch Panel</t>
  </si>
  <si>
    <t>Access Point</t>
  </si>
  <si>
    <t>Tomadas RJ45</t>
  </si>
  <si>
    <t>Fichas RJ45</t>
  </si>
  <si>
    <t>Telefone VOIP</t>
  </si>
  <si>
    <t>UPS</t>
  </si>
  <si>
    <t>Cabo UTP</t>
  </si>
  <si>
    <t>Fibra Ótica Multimodo</t>
  </si>
  <si>
    <t>WP RACK</t>
  </si>
  <si>
    <t>Armário rack 6U Rack de pendurar na parede Preto</t>
  </si>
  <si>
    <t>Patch Panel 19" 1U RJ45 24 Portas CAT6 (Preto)</t>
  </si>
  <si>
    <t>Placa de parede RJ45 Cat6 80x80 2-FTP</t>
  </si>
  <si>
    <t>Bematik</t>
  </si>
  <si>
    <t>EQUIP</t>
  </si>
  <si>
    <t>Eaton</t>
  </si>
  <si>
    <t>UPS Eaton 5P (650 – 1550 VA)</t>
  </si>
  <si>
    <t>TP-LINK</t>
  </si>
  <si>
    <t xml:space="preserve">Access Point AP500 WLAN </t>
  </si>
  <si>
    <t>ProFTC</t>
  </si>
  <si>
    <t xml:space="preserve">Cisco SPA 502G IP Phone </t>
  </si>
  <si>
    <t>CISCO</t>
  </si>
  <si>
    <t>SWITCH CATALYST 2960-X 24 GigE PoE 370W</t>
  </si>
  <si>
    <t xml:space="preserve">Swicth </t>
  </si>
  <si>
    <t>ISR4461/K9</t>
  </si>
  <si>
    <t>TOTAL PRODUTO</t>
  </si>
  <si>
    <t>TOTAL:</t>
  </si>
  <si>
    <t>Switch Gigabit de 16 portas 10/100/1000 Mbps</t>
  </si>
  <si>
    <t xml:space="preserve">WP RACK </t>
  </si>
  <si>
    <t>Serie RNA Network WP RACK 19" 22U 800x800mm, Black RAL 9005</t>
  </si>
  <si>
    <t>Bastidor Pequeno</t>
  </si>
  <si>
    <t>Ventilação</t>
  </si>
  <si>
    <t>RackMatic</t>
  </si>
  <si>
    <t>Kit Ventilação rack 19" 1U 4 ventoinhas de 120mm</t>
  </si>
  <si>
    <t>Multimode 62.5/125, (OM1) 50/125 (OM2, OM3, OM4)</t>
  </si>
  <si>
    <t>MicroOptics</t>
  </si>
  <si>
    <t xml:space="preserve">Módulo SFP </t>
  </si>
  <si>
    <t xml:space="preserve">DIGITUS </t>
  </si>
  <si>
    <t>Bobine Cabo Rede CAT6A UTP 305MT AZUL</t>
  </si>
  <si>
    <t>DIGITUS</t>
  </si>
  <si>
    <t>Bobina de fibra óptica multimodo 50/125 6 fibras 100 m OM2</t>
  </si>
  <si>
    <t>Bobina de fibra óptica multimodo 50/125 6 fibras 100 m OM1</t>
  </si>
  <si>
    <t>Ficha RJ45 UTP CAT6 C/CAPOT E GUIA (PACK 100 UN)</t>
  </si>
  <si>
    <t>1 572,12€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</si>
</sst>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_-* #,##0.00\ [$€-816]_-;\-* #,##0.00\ [$€-816]_-;_-* &quot;-&quot;??\ [$€-816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Fill="1"/>
    <xf numFmtId="0" fontId="0" fillId="2" borderId="2" xfId="0" applyFill="1" applyBorder="1"/>
    <xf numFmtId="0" fontId="0" fillId="0" borderId="6" xfId="0" applyFill="1" applyBorder="1"/>
    <xf numFmtId="0" fontId="0" fillId="3" borderId="6" xfId="0" applyFill="1" applyBorder="1"/>
    <xf numFmtId="0" fontId="0" fillId="2" borderId="7" xfId="0" applyFill="1" applyBorder="1"/>
    <xf numFmtId="0" fontId="0" fillId="3" borderId="1" xfId="0" applyFill="1" applyBorder="1" applyAlignment="1">
      <alignment horizontal="right"/>
    </xf>
    <xf numFmtId="164" fontId="0" fillId="3" borderId="8" xfId="0" applyNumberFormat="1" applyFill="1" applyBorder="1"/>
    <xf numFmtId="165" fontId="0" fillId="3" borderId="6" xfId="0" applyNumberFormat="1" applyFill="1" applyBorder="1"/>
    <xf numFmtId="165" fontId="0" fillId="3" borderId="6" xfId="0" applyNumberFormat="1" applyFill="1" applyBorder="1" applyAlignment="1">
      <alignment horizontal="right"/>
    </xf>
    <xf numFmtId="165" fontId="0" fillId="0" borderId="6" xfId="2" applyNumberFormat="1" applyFont="1" applyFill="1" applyBorder="1" applyAlignment="1">
      <alignment horizontal="right"/>
    </xf>
    <xf numFmtId="165" fontId="0" fillId="0" borderId="6" xfId="0" applyNumberFormat="1" applyFill="1" applyBorder="1" applyAlignment="1">
      <alignment horizontal="right"/>
    </xf>
    <xf numFmtId="165" fontId="0" fillId="0" borderId="6" xfId="0" applyNumberFormat="1" applyFill="1" applyBorder="1"/>
    <xf numFmtId="165" fontId="0" fillId="0" borderId="6" xfId="0" applyNumberFormat="1" applyFill="1" applyBorder="1" applyAlignment="1">
      <alignment vertical="center"/>
    </xf>
    <xf numFmtId="165" fontId="0" fillId="0" borderId="6" xfId="1" applyNumberFormat="1" applyFont="1" applyFill="1" applyBorder="1"/>
    <xf numFmtId="165" fontId="0" fillId="3" borderId="3" xfId="0" applyNumberFormat="1" applyFill="1" applyBorder="1" applyAlignment="1">
      <alignment horizontal="right"/>
    </xf>
    <xf numFmtId="165" fontId="0" fillId="0" borderId="3" xfId="0" applyNumberFormat="1" applyFill="1" applyBorder="1" applyAlignment="1">
      <alignment horizontal="right"/>
    </xf>
    <xf numFmtId="165" fontId="0" fillId="3" borderId="6" xfId="1" applyNumberFormat="1" applyFont="1" applyFill="1" applyBorder="1" applyAlignment="1">
      <alignment horizontal="right"/>
    </xf>
    <xf numFmtId="165" fontId="0" fillId="0" borderId="6" xfId="1" applyNumberFormat="1" applyFont="1" applyFill="1" applyBorder="1" applyAlignment="1">
      <alignment horizontal="right"/>
    </xf>
    <xf numFmtId="165" fontId="0" fillId="3" borderId="6" xfId="1" applyNumberFormat="1" applyFont="1" applyFill="1" applyBorder="1"/>
    <xf numFmtId="165" fontId="0" fillId="0" borderId="6" xfId="1" applyNumberFormat="1" applyFont="1" applyFill="1" applyBorder="1" applyAlignment="1">
      <alignment vertical="center"/>
    </xf>
    <xf numFmtId="0" fontId="0" fillId="3" borderId="5" xfId="0" applyFill="1" applyBorder="1"/>
    <xf numFmtId="0" fontId="3" fillId="3" borderId="5" xfId="3" applyFont="1" applyFill="1" applyBorder="1" applyAlignment="1">
      <alignment vertical="center"/>
    </xf>
    <xf numFmtId="165" fontId="0" fillId="3" borderId="5" xfId="0" applyNumberFormat="1" applyFill="1" applyBorder="1"/>
    <xf numFmtId="165" fontId="0" fillId="3" borderId="4" xfId="0" applyNumberFormat="1" applyFill="1" applyBorder="1" applyAlignment="1">
      <alignment horizontal="right"/>
    </xf>
    <xf numFmtId="165" fontId="0" fillId="3" borderId="5" xfId="1" applyNumberFormat="1" applyFont="1" applyFill="1" applyBorder="1"/>
    <xf numFmtId="8" fontId="0" fillId="0" borderId="3" xfId="1" applyNumberFormat="1" applyFont="1" applyFill="1" applyBorder="1" applyAlignment="1">
      <alignment horizontal="right"/>
    </xf>
  </cellXfs>
  <cellStyles count="4">
    <cellStyle name="Hiperligação" xfId="3" builtinId="8"/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05B1-8E7A-46C8-A346-05CFAF3F1B91}">
  <dimension ref="A1:F18"/>
  <sheetViews>
    <sheetView showGridLines="0" tabSelected="1" zoomScale="115" zoomScaleNormal="115" workbookViewId="0">
      <selection activeCell="F20" sqref="F20"/>
    </sheetView>
  </sheetViews>
  <sheetFormatPr defaultRowHeight="15" x14ac:dyDescent="0.25"/>
  <cols>
    <col min="1" max="1" width="23.140625" customWidth="1"/>
    <col min="2" max="2" width="11.7109375" customWidth="1"/>
    <col min="3" max="3" width="64.5703125" customWidth="1"/>
    <col min="4" max="4" width="12.85546875" customWidth="1"/>
    <col min="5" max="5" width="21.5703125" customWidth="1"/>
    <col min="6" max="6" width="17.2851562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32</v>
      </c>
    </row>
    <row r="2" spans="1:6" x14ac:dyDescent="0.25">
      <c r="A2" s="4" t="s">
        <v>5</v>
      </c>
      <c r="B2" s="4" t="s">
        <v>35</v>
      </c>
      <c r="C2" s="4" t="s">
        <v>36</v>
      </c>
      <c r="D2" s="4">
        <v>2</v>
      </c>
      <c r="E2" s="9">
        <v>739.9</v>
      </c>
      <c r="F2" s="15">
        <v>1479.8</v>
      </c>
    </row>
    <row r="3" spans="1:6" x14ac:dyDescent="0.25">
      <c r="A3" s="3" t="s">
        <v>37</v>
      </c>
      <c r="B3" s="3" t="s">
        <v>16</v>
      </c>
      <c r="C3" s="3" t="s">
        <v>17</v>
      </c>
      <c r="D3" s="3">
        <v>6</v>
      </c>
      <c r="E3" s="10">
        <v>153.9</v>
      </c>
      <c r="F3" s="16">
        <v>923.4</v>
      </c>
    </row>
    <row r="4" spans="1:6" x14ac:dyDescent="0.25">
      <c r="A4" s="4" t="s">
        <v>8</v>
      </c>
      <c r="B4" s="4" t="s">
        <v>26</v>
      </c>
      <c r="C4" s="4" t="s">
        <v>18</v>
      </c>
      <c r="D4" s="4">
        <v>2</v>
      </c>
      <c r="E4" s="9">
        <v>27.5</v>
      </c>
      <c r="F4" s="15">
        <v>55</v>
      </c>
    </row>
    <row r="5" spans="1:6" x14ac:dyDescent="0.25">
      <c r="A5" s="3" t="s">
        <v>38</v>
      </c>
      <c r="B5" s="3" t="s">
        <v>39</v>
      </c>
      <c r="C5" s="3" t="s">
        <v>40</v>
      </c>
      <c r="D5" s="3">
        <v>2</v>
      </c>
      <c r="E5" s="11">
        <v>87.38</v>
      </c>
      <c r="F5" s="16">
        <v>174.76</v>
      </c>
    </row>
    <row r="6" spans="1:6" x14ac:dyDescent="0.25">
      <c r="A6" s="4" t="s">
        <v>6</v>
      </c>
      <c r="B6" s="4" t="s">
        <v>28</v>
      </c>
      <c r="C6" s="4" t="s">
        <v>29</v>
      </c>
      <c r="D6" s="4">
        <v>4</v>
      </c>
      <c r="E6" s="8">
        <v>1736</v>
      </c>
      <c r="F6" s="15">
        <v>6944</v>
      </c>
    </row>
    <row r="7" spans="1:6" x14ac:dyDescent="0.25">
      <c r="A7" s="3" t="s">
        <v>30</v>
      </c>
      <c r="B7" s="3" t="s">
        <v>24</v>
      </c>
      <c r="C7" s="3" t="s">
        <v>34</v>
      </c>
      <c r="D7" s="3">
        <v>5</v>
      </c>
      <c r="E7" s="12">
        <v>52</v>
      </c>
      <c r="F7" s="16">
        <v>260</v>
      </c>
    </row>
    <row r="8" spans="1:6" x14ac:dyDescent="0.25">
      <c r="A8" s="4" t="s">
        <v>7</v>
      </c>
      <c r="B8" s="4" t="s">
        <v>28</v>
      </c>
      <c r="C8" s="4" t="s">
        <v>31</v>
      </c>
      <c r="D8" s="4">
        <v>1</v>
      </c>
      <c r="E8" s="9">
        <v>9209.26</v>
      </c>
      <c r="F8" s="15">
        <v>9209.26</v>
      </c>
    </row>
    <row r="9" spans="1:6" x14ac:dyDescent="0.25">
      <c r="A9" s="3" t="s">
        <v>9</v>
      </c>
      <c r="B9" s="3" t="s">
        <v>24</v>
      </c>
      <c r="C9" s="3" t="s">
        <v>25</v>
      </c>
      <c r="D9" s="3">
        <v>12</v>
      </c>
      <c r="E9" s="13">
        <v>131.01</v>
      </c>
      <c r="F9" s="16" t="s">
        <v>50</v>
      </c>
    </row>
    <row r="10" spans="1:6" x14ac:dyDescent="0.25">
      <c r="A10" s="4" t="s">
        <v>10</v>
      </c>
      <c r="B10" s="4" t="s">
        <v>20</v>
      </c>
      <c r="C10" s="4" t="s">
        <v>19</v>
      </c>
      <c r="D10" s="4">
        <v>33</v>
      </c>
      <c r="E10" s="8">
        <v>7.05</v>
      </c>
      <c r="F10" s="15">
        <v>232.65</v>
      </c>
    </row>
    <row r="11" spans="1:6" x14ac:dyDescent="0.25">
      <c r="A11" s="3" t="s">
        <v>11</v>
      </c>
      <c r="B11" s="3" t="s">
        <v>21</v>
      </c>
      <c r="C11" s="3" t="s">
        <v>49</v>
      </c>
      <c r="D11" s="3">
        <v>37</v>
      </c>
      <c r="E11" s="11">
        <v>29.69</v>
      </c>
      <c r="F11" s="16">
        <v>1098.53</v>
      </c>
    </row>
    <row r="12" spans="1:6" x14ac:dyDescent="0.25">
      <c r="A12" s="4" t="s">
        <v>12</v>
      </c>
      <c r="B12" s="4" t="s">
        <v>28</v>
      </c>
      <c r="C12" s="4" t="s">
        <v>27</v>
      </c>
      <c r="D12" s="4">
        <v>2</v>
      </c>
      <c r="E12" s="8">
        <v>64.95</v>
      </c>
      <c r="F12" s="15">
        <v>129.9</v>
      </c>
    </row>
    <row r="13" spans="1:6" x14ac:dyDescent="0.25">
      <c r="A13" s="3" t="s">
        <v>13</v>
      </c>
      <c r="B13" s="3" t="s">
        <v>22</v>
      </c>
      <c r="C13" s="3" t="s">
        <v>23</v>
      </c>
      <c r="D13" s="3">
        <v>2</v>
      </c>
      <c r="E13" s="12">
        <v>1770</v>
      </c>
      <c r="F13" s="16">
        <v>3540</v>
      </c>
    </row>
    <row r="14" spans="1:6" x14ac:dyDescent="0.25">
      <c r="A14" s="4" t="s">
        <v>14</v>
      </c>
      <c r="B14" s="4" t="s">
        <v>44</v>
      </c>
      <c r="C14" s="4" t="s">
        <v>45</v>
      </c>
      <c r="D14" s="4">
        <v>19</v>
      </c>
      <c r="E14" s="8">
        <v>153.85</v>
      </c>
      <c r="F14" s="15">
        <v>2923.15</v>
      </c>
    </row>
    <row r="15" spans="1:6" x14ac:dyDescent="0.25">
      <c r="A15" s="3" t="s">
        <v>15</v>
      </c>
      <c r="B15" s="3" t="s">
        <v>20</v>
      </c>
      <c r="C15" s="3" t="s">
        <v>48</v>
      </c>
      <c r="D15" s="3">
        <v>0</v>
      </c>
      <c r="E15" s="14">
        <v>91.4</v>
      </c>
      <c r="F15" s="16">
        <v>0</v>
      </c>
    </row>
    <row r="16" spans="1:6" x14ac:dyDescent="0.25">
      <c r="A16" s="21" t="s">
        <v>43</v>
      </c>
      <c r="B16" s="21" t="s">
        <v>42</v>
      </c>
      <c r="C16" s="22" t="s">
        <v>41</v>
      </c>
      <c r="D16" s="21">
        <v>16</v>
      </c>
      <c r="E16" s="23">
        <v>98.17</v>
      </c>
      <c r="F16" s="24">
        <v>1570.72</v>
      </c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6" t="s">
        <v>33</v>
      </c>
      <c r="F18" s="7">
        <f>SUM(F2:F16)</f>
        <v>28541.170000000006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0BC0-8531-4306-84F4-EA25CA817007}">
  <dimension ref="A1:F18"/>
  <sheetViews>
    <sheetView showGridLines="0" zoomScale="115" zoomScaleNormal="115" workbookViewId="0">
      <selection activeCell="H20" sqref="H20"/>
    </sheetView>
  </sheetViews>
  <sheetFormatPr defaultRowHeight="15" x14ac:dyDescent="0.25"/>
  <cols>
    <col min="1" max="1" width="23" customWidth="1"/>
    <col min="2" max="2" width="11.42578125" customWidth="1"/>
    <col min="3" max="3" width="63.7109375" customWidth="1"/>
    <col min="4" max="4" width="13" customWidth="1"/>
    <col min="5" max="5" width="21.42578125" customWidth="1"/>
    <col min="6" max="6" width="16.570312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32</v>
      </c>
    </row>
    <row r="2" spans="1:6" x14ac:dyDescent="0.25">
      <c r="A2" s="4" t="s">
        <v>5</v>
      </c>
      <c r="B2" s="4" t="s">
        <v>35</v>
      </c>
      <c r="C2" s="4" t="s">
        <v>36</v>
      </c>
      <c r="D2" s="4">
        <v>2</v>
      </c>
      <c r="E2" s="17">
        <v>739.9</v>
      </c>
      <c r="F2" s="15">
        <v>1479.8</v>
      </c>
    </row>
    <row r="3" spans="1:6" x14ac:dyDescent="0.25">
      <c r="A3" s="3" t="s">
        <v>37</v>
      </c>
      <c r="B3" s="3" t="s">
        <v>16</v>
      </c>
      <c r="C3" s="3" t="s">
        <v>17</v>
      </c>
      <c r="D3" s="3">
        <v>2</v>
      </c>
      <c r="E3" s="18">
        <v>153.9</v>
      </c>
      <c r="F3" s="16">
        <v>307.8</v>
      </c>
    </row>
    <row r="4" spans="1:6" x14ac:dyDescent="0.25">
      <c r="A4" s="4" t="s">
        <v>8</v>
      </c>
      <c r="B4" s="4" t="s">
        <v>26</v>
      </c>
      <c r="C4" s="4" t="s">
        <v>18</v>
      </c>
      <c r="D4" s="4">
        <v>2</v>
      </c>
      <c r="E4" s="17">
        <v>27.5</v>
      </c>
      <c r="F4" s="15">
        <v>55</v>
      </c>
    </row>
    <row r="5" spans="1:6" x14ac:dyDescent="0.25">
      <c r="A5" s="3" t="s">
        <v>38</v>
      </c>
      <c r="B5" s="3" t="s">
        <v>39</v>
      </c>
      <c r="C5" s="3" t="s">
        <v>40</v>
      </c>
      <c r="D5" s="3">
        <v>3</v>
      </c>
      <c r="E5" s="18">
        <v>87.38</v>
      </c>
      <c r="F5" s="16">
        <v>262.14</v>
      </c>
    </row>
    <row r="6" spans="1:6" x14ac:dyDescent="0.25">
      <c r="A6" s="4" t="s">
        <v>6</v>
      </c>
      <c r="B6" s="4" t="s">
        <v>28</v>
      </c>
      <c r="C6" s="4" t="s">
        <v>29</v>
      </c>
      <c r="D6" s="4">
        <v>4</v>
      </c>
      <c r="E6" s="19">
        <v>1736</v>
      </c>
      <c r="F6" s="15">
        <v>6944</v>
      </c>
    </row>
    <row r="7" spans="1:6" x14ac:dyDescent="0.25">
      <c r="A7" s="3" t="s">
        <v>30</v>
      </c>
      <c r="B7" s="3" t="s">
        <v>24</v>
      </c>
      <c r="C7" s="3" t="s">
        <v>34</v>
      </c>
      <c r="D7" s="3">
        <v>2</v>
      </c>
      <c r="E7" s="14">
        <v>52</v>
      </c>
      <c r="F7" s="26">
        <v>104</v>
      </c>
    </row>
    <row r="8" spans="1:6" x14ac:dyDescent="0.25">
      <c r="A8" s="4" t="s">
        <v>7</v>
      </c>
      <c r="B8" s="4" t="s">
        <v>28</v>
      </c>
      <c r="C8" s="4" t="s">
        <v>31</v>
      </c>
      <c r="D8" s="4">
        <v>1</v>
      </c>
      <c r="E8" s="17">
        <v>9209.26</v>
      </c>
      <c r="F8" s="15">
        <v>9209.26</v>
      </c>
    </row>
    <row r="9" spans="1:6" x14ac:dyDescent="0.25">
      <c r="A9" s="3" t="s">
        <v>9</v>
      </c>
      <c r="B9" s="3" t="s">
        <v>24</v>
      </c>
      <c r="C9" s="3" t="s">
        <v>25</v>
      </c>
      <c r="D9" s="3">
        <v>4</v>
      </c>
      <c r="E9" s="20">
        <v>131.01</v>
      </c>
      <c r="F9" s="16">
        <v>524.04</v>
      </c>
    </row>
    <row r="10" spans="1:6" x14ac:dyDescent="0.25">
      <c r="A10" s="4" t="s">
        <v>10</v>
      </c>
      <c r="B10" s="4" t="s">
        <v>20</v>
      </c>
      <c r="C10" s="4" t="s">
        <v>19</v>
      </c>
      <c r="D10" s="4">
        <v>33</v>
      </c>
      <c r="E10" s="19">
        <v>7.05</v>
      </c>
      <c r="F10" s="15">
        <v>232.65</v>
      </c>
    </row>
    <row r="11" spans="1:6" x14ac:dyDescent="0.25">
      <c r="A11" s="3" t="s">
        <v>11</v>
      </c>
      <c r="B11" s="3" t="s">
        <v>21</v>
      </c>
      <c r="C11" s="3" t="s">
        <v>49</v>
      </c>
      <c r="D11" s="3">
        <v>37</v>
      </c>
      <c r="E11" s="18">
        <v>29.69</v>
      </c>
      <c r="F11" s="16">
        <v>1098.53</v>
      </c>
    </row>
    <row r="12" spans="1:6" x14ac:dyDescent="0.25">
      <c r="A12" s="4" t="s">
        <v>12</v>
      </c>
      <c r="B12" s="4" t="s">
        <v>28</v>
      </c>
      <c r="C12" s="4" t="s">
        <v>27</v>
      </c>
      <c r="D12" s="4">
        <v>2</v>
      </c>
      <c r="E12" s="19">
        <v>64.95</v>
      </c>
      <c r="F12" s="15">
        <v>129.9</v>
      </c>
    </row>
    <row r="13" spans="1:6" x14ac:dyDescent="0.25">
      <c r="A13" s="3" t="s">
        <v>13</v>
      </c>
      <c r="B13" s="3" t="s">
        <v>22</v>
      </c>
      <c r="C13" s="3" t="s">
        <v>23</v>
      </c>
      <c r="D13" s="3">
        <v>2</v>
      </c>
      <c r="E13" s="14">
        <v>1770</v>
      </c>
      <c r="F13" s="16">
        <v>3540</v>
      </c>
    </row>
    <row r="14" spans="1:6" x14ac:dyDescent="0.25">
      <c r="A14" s="4" t="s">
        <v>14</v>
      </c>
      <c r="B14" s="4" t="s">
        <v>46</v>
      </c>
      <c r="C14" s="4" t="s">
        <v>45</v>
      </c>
      <c r="D14" s="4">
        <v>16</v>
      </c>
      <c r="E14" s="19">
        <v>153.85</v>
      </c>
      <c r="F14" s="15">
        <v>2461.6</v>
      </c>
    </row>
    <row r="15" spans="1:6" x14ac:dyDescent="0.25">
      <c r="A15" s="3" t="s">
        <v>15</v>
      </c>
      <c r="B15" s="3" t="s">
        <v>20</v>
      </c>
      <c r="C15" s="3" t="s">
        <v>47</v>
      </c>
      <c r="D15" s="3">
        <v>2</v>
      </c>
      <c r="E15" s="14">
        <v>91.4</v>
      </c>
      <c r="F15" s="16">
        <v>182.8</v>
      </c>
    </row>
    <row r="16" spans="1:6" x14ac:dyDescent="0.25">
      <c r="A16" s="21" t="s">
        <v>43</v>
      </c>
      <c r="B16" s="21" t="s">
        <v>42</v>
      </c>
      <c r="C16" s="22" t="s">
        <v>41</v>
      </c>
      <c r="D16" s="21">
        <v>16</v>
      </c>
      <c r="E16" s="25">
        <v>98.17</v>
      </c>
      <c r="F16" s="24">
        <v>1570.72</v>
      </c>
    </row>
    <row r="17" spans="1:6" x14ac:dyDescent="0.25">
      <c r="A17" s="1"/>
      <c r="B17" s="1"/>
      <c r="C17" s="1"/>
      <c r="D17" s="1"/>
    </row>
    <row r="18" spans="1:6" x14ac:dyDescent="0.25">
      <c r="E18" s="6" t="s">
        <v>33</v>
      </c>
      <c r="F18" s="7">
        <f>SUM(F2:F16)</f>
        <v>28102.240000000002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CF12-B04D-4459-A8CC-F322259C3A95}">
  <dimension ref="A1:F18"/>
  <sheetViews>
    <sheetView showGridLines="0" zoomScale="115" zoomScaleNormal="115" workbookViewId="0">
      <selection activeCell="H20" sqref="H20"/>
    </sheetView>
  </sheetViews>
  <sheetFormatPr defaultRowHeight="15" x14ac:dyDescent="0.25"/>
  <cols>
    <col min="1" max="1" width="23.140625" customWidth="1"/>
    <col min="2" max="2" width="11.7109375" customWidth="1"/>
    <col min="3" max="3" width="64.140625" customWidth="1"/>
    <col min="4" max="4" width="13" customWidth="1"/>
    <col min="5" max="5" width="21" customWidth="1"/>
    <col min="6" max="6" width="15.4257812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32</v>
      </c>
    </row>
    <row r="2" spans="1:6" x14ac:dyDescent="0.25">
      <c r="A2" s="4" t="s">
        <v>5</v>
      </c>
      <c r="B2" s="4" t="s">
        <v>35</v>
      </c>
      <c r="C2" s="4" t="s">
        <v>36</v>
      </c>
      <c r="D2" s="4">
        <v>2</v>
      </c>
      <c r="E2" s="9">
        <v>739.9</v>
      </c>
      <c r="F2" s="15">
        <v>1479.8</v>
      </c>
    </row>
    <row r="3" spans="1:6" x14ac:dyDescent="0.25">
      <c r="A3" s="3" t="s">
        <v>37</v>
      </c>
      <c r="B3" s="3" t="s">
        <v>16</v>
      </c>
      <c r="C3" s="3" t="s">
        <v>17</v>
      </c>
      <c r="D3" s="3">
        <v>1</v>
      </c>
      <c r="E3" s="10">
        <v>153.9</v>
      </c>
      <c r="F3" s="16">
        <v>153.9</v>
      </c>
    </row>
    <row r="4" spans="1:6" x14ac:dyDescent="0.25">
      <c r="A4" s="4" t="s">
        <v>8</v>
      </c>
      <c r="B4" s="4" t="s">
        <v>26</v>
      </c>
      <c r="C4" s="4" t="s">
        <v>18</v>
      </c>
      <c r="D4" s="4">
        <v>4</v>
      </c>
      <c r="E4" s="9">
        <v>27.5</v>
      </c>
      <c r="F4" s="15">
        <v>110</v>
      </c>
    </row>
    <row r="5" spans="1:6" x14ac:dyDescent="0.25">
      <c r="A5" s="3" t="s">
        <v>38</v>
      </c>
      <c r="B5" s="3" t="s">
        <v>39</v>
      </c>
      <c r="C5" s="3" t="s">
        <v>40</v>
      </c>
      <c r="D5" s="3">
        <v>3</v>
      </c>
      <c r="E5" s="11">
        <v>87.38</v>
      </c>
      <c r="F5" s="16">
        <v>262.14</v>
      </c>
    </row>
    <row r="6" spans="1:6" x14ac:dyDescent="0.25">
      <c r="A6" s="4" t="s">
        <v>6</v>
      </c>
      <c r="B6" s="4" t="s">
        <v>28</v>
      </c>
      <c r="C6" s="4" t="s">
        <v>29</v>
      </c>
      <c r="D6" s="4">
        <v>3</v>
      </c>
      <c r="E6" s="8">
        <v>1736</v>
      </c>
      <c r="F6" s="15">
        <v>5208</v>
      </c>
    </row>
    <row r="7" spans="1:6" x14ac:dyDescent="0.25">
      <c r="A7" s="3" t="s">
        <v>30</v>
      </c>
      <c r="B7" s="3" t="s">
        <v>24</v>
      </c>
      <c r="C7" s="3" t="s">
        <v>34</v>
      </c>
      <c r="D7" s="3">
        <v>1</v>
      </c>
      <c r="E7" s="12">
        <v>52</v>
      </c>
      <c r="F7" s="16">
        <v>52</v>
      </c>
    </row>
    <row r="8" spans="1:6" x14ac:dyDescent="0.25">
      <c r="A8" s="4" t="s">
        <v>7</v>
      </c>
      <c r="B8" s="4" t="s">
        <v>28</v>
      </c>
      <c r="C8" s="4" t="s">
        <v>31</v>
      </c>
      <c r="D8" s="4">
        <v>1</v>
      </c>
      <c r="E8" s="9">
        <v>9209.26</v>
      </c>
      <c r="F8" s="15">
        <v>9209.26</v>
      </c>
    </row>
    <row r="9" spans="1:6" x14ac:dyDescent="0.25">
      <c r="A9" s="3" t="s">
        <v>9</v>
      </c>
      <c r="B9" s="3" t="s">
        <v>24</v>
      </c>
      <c r="C9" s="3" t="s">
        <v>25</v>
      </c>
      <c r="D9" s="3">
        <v>4</v>
      </c>
      <c r="E9" s="13">
        <v>131.01</v>
      </c>
      <c r="F9" s="16">
        <v>524.04</v>
      </c>
    </row>
    <row r="10" spans="1:6" x14ac:dyDescent="0.25">
      <c r="A10" s="4" t="s">
        <v>10</v>
      </c>
      <c r="B10" s="4" t="s">
        <v>20</v>
      </c>
      <c r="C10" s="4" t="s">
        <v>19</v>
      </c>
      <c r="D10" s="4">
        <v>88</v>
      </c>
      <c r="E10" s="8">
        <v>7.05</v>
      </c>
      <c r="F10" s="15">
        <v>620.4</v>
      </c>
    </row>
    <row r="11" spans="1:6" x14ac:dyDescent="0.25">
      <c r="A11" s="3" t="s">
        <v>11</v>
      </c>
      <c r="B11" s="3" t="s">
        <v>21</v>
      </c>
      <c r="C11" s="3" t="s">
        <v>49</v>
      </c>
      <c r="D11" s="3">
        <v>92</v>
      </c>
      <c r="E11" s="11">
        <v>29.69</v>
      </c>
      <c r="F11" s="16">
        <v>2612.7199999999998</v>
      </c>
    </row>
    <row r="12" spans="1:6" x14ac:dyDescent="0.25">
      <c r="A12" s="4" t="s">
        <v>12</v>
      </c>
      <c r="B12" s="4" t="s">
        <v>28</v>
      </c>
      <c r="C12" s="4" t="s">
        <v>27</v>
      </c>
      <c r="D12" s="4">
        <v>2</v>
      </c>
      <c r="E12" s="8">
        <v>64.95</v>
      </c>
      <c r="F12" s="15">
        <v>129.9</v>
      </c>
    </row>
    <row r="13" spans="1:6" x14ac:dyDescent="0.25">
      <c r="A13" s="3" t="s">
        <v>13</v>
      </c>
      <c r="B13" s="3" t="s">
        <v>22</v>
      </c>
      <c r="C13" s="3" t="s">
        <v>23</v>
      </c>
      <c r="D13" s="3">
        <v>2</v>
      </c>
      <c r="E13" s="12">
        <v>1770</v>
      </c>
      <c r="F13" s="16">
        <v>3540</v>
      </c>
    </row>
    <row r="14" spans="1:6" x14ac:dyDescent="0.25">
      <c r="A14" s="4" t="s">
        <v>14</v>
      </c>
      <c r="B14" s="4" t="s">
        <v>46</v>
      </c>
      <c r="C14" s="4" t="s">
        <v>45</v>
      </c>
      <c r="D14" s="4">
        <v>14</v>
      </c>
      <c r="E14" s="8">
        <v>153.85</v>
      </c>
      <c r="F14" s="15">
        <v>2153.9</v>
      </c>
    </row>
    <row r="15" spans="1:6" x14ac:dyDescent="0.25">
      <c r="A15" s="3" t="s">
        <v>15</v>
      </c>
      <c r="B15" s="3" t="s">
        <v>20</v>
      </c>
      <c r="C15" s="3" t="s">
        <v>48</v>
      </c>
      <c r="D15" s="3">
        <v>0</v>
      </c>
      <c r="E15" s="14">
        <v>91.4</v>
      </c>
      <c r="F15" s="16">
        <v>0</v>
      </c>
    </row>
    <row r="16" spans="1:6" x14ac:dyDescent="0.25">
      <c r="A16" s="21" t="s">
        <v>43</v>
      </c>
      <c r="B16" s="21" t="s">
        <v>42</v>
      </c>
      <c r="C16" s="22" t="s">
        <v>41</v>
      </c>
      <c r="D16" s="21">
        <v>16</v>
      </c>
      <c r="E16" s="23">
        <v>98.17</v>
      </c>
      <c r="F16" s="24">
        <v>1570.72</v>
      </c>
    </row>
    <row r="17" spans="1:6" x14ac:dyDescent="0.25">
      <c r="A17" s="1"/>
      <c r="B17" s="1"/>
      <c r="C17" s="1"/>
      <c r="D17" s="1"/>
    </row>
    <row r="18" spans="1:6" x14ac:dyDescent="0.25">
      <c r="E18" s="6" t="s">
        <v>33</v>
      </c>
      <c r="F18" s="7">
        <f>SUM(F2:F16)</f>
        <v>27626.780000000006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Edifício 1</vt:lpstr>
      <vt:lpstr>Edifício 2</vt:lpstr>
      <vt:lpstr>Edifício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Alves</dc:creator>
  <cp:lastModifiedBy>Rafael Alves</cp:lastModifiedBy>
  <dcterms:created xsi:type="dcterms:W3CDTF">2021-06-02T17:14:17Z</dcterms:created>
  <dcterms:modified xsi:type="dcterms:W3CDTF">2021-06-14T21:36:49Z</dcterms:modified>
</cp:coreProperties>
</file>